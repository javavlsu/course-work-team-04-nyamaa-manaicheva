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Клиентский сценарий" sheetId="2" state="visible" r:id="rId4"/>
    <sheet name="Админский сценарий" sheetId="3" state="visible" r:id="rId5"/>
    <sheet name="Сводк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<sst xmlns="http://schemas.openxmlformats.org/spreadsheetml/2006/main" count="48" uniqueCount="32">
  <si>
    <t xml:space="preserve">Отчёт по нагрузочному тестированию (k6)</t>
  </si>
  <si>
    <t xml:space="preserve">Как заполнять:</t>
  </si>
  <si>
    <t xml:space="preserve">1. Прогоните k6-сценарий (01-client-scenario.js или 02-admin-scenario.js) ДО правок и запишите его сводку.</t>
  </si>
  <si>
    <t xml:space="preserve">2. Внесите значения из сводки k6 в жёлтые ячейки на листах 'Клиентский сценарий' и 'Админский сценарий', колонка 'До оптимизации'.</t>
  </si>
  <si>
    <t xml:space="preserve">3. Поправьте узкое место в коде, прогоните тот же сценарий ещё раз.</t>
  </si>
  <si>
    <t xml:space="preserve">4. Внесите новые значения в колонку 'После оптимизации' — % улучшения посчитается автоматически.</t>
  </si>
  <si>
    <t xml:space="preserve">Где брать числа в сводке k6 (пример строк вывода):</t>
  </si>
  <si>
    <t xml:space="preserve">  http_req_duration..............: p(95)=734.12ms   -&gt; это 'p95 длительности, мс'</t>
  </si>
  <si>
    <t xml:space="preserve">  http_req_failed.................: 12.34%           -&gt; это '% ошибок запросов'</t>
  </si>
  <si>
    <t xml:space="preserve">  checks..........................: 87.50%           -&gt; можно использовать вместо http_req_failed</t>
  </si>
  <si>
    <t xml:space="preserve">'VU на котором начались ошибки' смотрите по времени в логе/графике: на какой стадии (target VU)</t>
  </si>
  <si>
    <t xml:space="preserve">в options.scenarios...stages впервые пошли failed checks — это число VU впишите вручную.</t>
  </si>
  <si>
    <t xml:space="preserve">Клиентский сценарий</t>
  </si>
  <si>
    <t xml:space="preserve">Метрика</t>
  </si>
  <si>
    <t xml:space="preserve">До оптимизации</t>
  </si>
  <si>
    <t xml:space="preserve">После оптимизации</t>
  </si>
  <si>
    <t xml:space="preserve">Улучшение</t>
  </si>
  <si>
    <t xml:space="preserve">p95 длительности GET /api/notes, мс</t>
  </si>
  <si>
    <t xml:space="preserve">меньше — лучше</t>
  </si>
  <si>
    <t xml:space="preserve">% ошибочных запросов (http_req_failed)</t>
  </si>
  <si>
    <t xml:space="preserve">Число VU, при котором начались ошибки</t>
  </si>
  <si>
    <t xml:space="preserve">больше — лучше</t>
  </si>
  <si>
    <t xml:space="preserve">Среднее время логина (login), мс</t>
  </si>
  <si>
    <t xml:space="preserve">Пример (условные цифры, не реальные данные):</t>
  </si>
  <si>
    <t xml:space="preserve">Админский сценарий</t>
  </si>
  <si>
    <t xml:space="preserve">p95 длительности GET /api/users, мс</t>
  </si>
  <si>
    <t xml:space="preserve">Сводка по обоим сценариям</t>
  </si>
  <si>
    <t xml:space="preserve">Сценарий</t>
  </si>
  <si>
    <t xml:space="preserve">Улучшение p95, %</t>
  </si>
  <si>
    <t xml:space="preserve">Улучшение % ошибок</t>
  </si>
  <si>
    <t xml:space="preserve">Клиентский (GET /api/notes)</t>
  </si>
  <si>
    <t xml:space="preserve">Админский (GET /api/users)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</si>
</sst>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30"/>
  </cols>
  <sheetData>
    <row r="2" customFormat="false" ht="17.35" hidden="false" customHeight="false" outlineLevel="0" collapsed="false">
      <c r="B2" s="1" t="s">
        <v>12</v>
      </c>
    </row>
    <row r="4" customFormat="false" ht="26.85" hidden="false" customHeight="false" outlineLevel="0" collapsed="false">
      <c r="B4" s="4" t="s">
        <v>13</v>
      </c>
      <c r="C4" s="4" t="s">
        <v>14</v>
      </c>
      <c r="D4" s="4" t="s">
        <v>15</v>
      </c>
      <c r="E4" s="4" t="s">
        <v>16</v>
      </c>
    </row>
    <row r="5" customFormat="false" ht="15" hidden="false" customHeight="false" outlineLevel="0" collapsed="false">
      <c r="B5" s="5" t="s">
        <v>17</v>
      </c>
      <c r="C5" s="6"/>
      <c r="D5" s="6"/>
      <c r="E5" s="7" t="str">
        <f aca="false">IFERROR((C5-D5)/C5,"—")</f>
        <v>—</v>
      </c>
      <c r="F5" s="8" t="s">
        <v>18</v>
      </c>
    </row>
    <row r="6" customFormat="false" ht="15" hidden="false" customHeight="false" outlineLevel="0" collapsed="false">
      <c r="B6" s="5" t="s">
        <v>19</v>
      </c>
      <c r="C6" s="6"/>
      <c r="D6" s="6"/>
      <c r="E6" s="7" t="str">
        <f aca="false">IFERROR((C6-D6)/C6,"—")</f>
        <v>—</v>
      </c>
      <c r="F6" s="8" t="s">
        <v>18</v>
      </c>
    </row>
    <row r="7" customFormat="false" ht="15" hidden="false" customHeight="false" outlineLevel="0" collapsed="false">
      <c r="B7" s="5" t="s">
        <v>20</v>
      </c>
      <c r="C7" s="6"/>
      <c r="D7" s="6"/>
      <c r="E7" s="7" t="str">
        <f aca="false">IFERROR((D7-C7)/C7,"—")</f>
        <v>—</v>
      </c>
      <c r="F7" s="8" t="s">
        <v>21</v>
      </c>
    </row>
    <row r="8" customFormat="false" ht="15" hidden="false" customHeight="false" outlineLevel="0" collapsed="false">
      <c r="B8" s="5" t="s">
        <v>22</v>
      </c>
      <c r="C8" s="6"/>
      <c r="D8" s="6"/>
      <c r="E8" s="7" t="str">
        <f aca="false">IFERROR((C8-D8)/C8,"—")</f>
        <v>—</v>
      </c>
      <c r="F8" s="8" t="s">
        <v>18</v>
      </c>
    </row>
    <row r="10" customFormat="false" ht="15" hidden="false" customHeight="false" outlineLevel="0" collapsed="false">
      <c r="B10" s="8" t="s">
        <v>23</v>
      </c>
    </row>
    <row r="11" customFormat="false" ht="15" hidden="false" customHeight="false" outlineLevel="0" collapsed="false">
      <c r="B11" s="8" t="s">
        <v>17</v>
      </c>
      <c r="C11" s="8" t="n">
        <v>2400</v>
      </c>
      <c r="D11" s="8" t="n">
        <v>520</v>
      </c>
      <c r="E11" s="9" t="n">
        <f aca="false">IFERROR((C11-D11)/C11,"—")</f>
        <v>0.783333333333333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30"/>
  </cols>
  <sheetData>
    <row r="2" customFormat="false" ht="17.35" hidden="false" customHeight="false" outlineLevel="0" collapsed="false">
      <c r="B2" s="1" t="s">
        <v>24</v>
      </c>
    </row>
    <row r="4" customFormat="false" ht="26.85" hidden="false" customHeight="false" outlineLevel="0" collapsed="false">
      <c r="B4" s="4" t="s">
        <v>13</v>
      </c>
      <c r="C4" s="4" t="s">
        <v>14</v>
      </c>
      <c r="D4" s="4" t="s">
        <v>15</v>
      </c>
      <c r="E4" s="4" t="s">
        <v>16</v>
      </c>
    </row>
    <row r="5" customFormat="false" ht="15" hidden="false" customHeight="false" outlineLevel="0" collapsed="false">
      <c r="B5" s="5" t="s">
        <v>25</v>
      </c>
      <c r="C5" s="6"/>
      <c r="D5" s="6"/>
      <c r="E5" s="7" t="str">
        <f aca="false">IFERROR((C5-D5)/C5,"—")</f>
        <v>—</v>
      </c>
      <c r="F5" s="8" t="s">
        <v>18</v>
      </c>
    </row>
    <row r="6" customFormat="false" ht="15" hidden="false" customHeight="false" outlineLevel="0" collapsed="false">
      <c r="B6" s="5" t="s">
        <v>19</v>
      </c>
      <c r="C6" s="6"/>
      <c r="D6" s="6"/>
      <c r="E6" s="7" t="str">
        <f aca="false">IFERROR((C6-D6)/C6,"—")</f>
        <v>—</v>
      </c>
      <c r="F6" s="8" t="s">
        <v>18</v>
      </c>
    </row>
    <row r="7" customFormat="false" ht="15" hidden="false" customHeight="false" outlineLevel="0" collapsed="false">
      <c r="B7" s="5" t="s">
        <v>20</v>
      </c>
      <c r="C7" s="6"/>
      <c r="D7" s="6"/>
      <c r="E7" s="7" t="str">
        <f aca="false">IFERROR((D7-C7)/C7,"—")</f>
        <v>—</v>
      </c>
      <c r="F7" s="8" t="s">
        <v>21</v>
      </c>
    </row>
    <row r="8" customFormat="false" ht="15" hidden="false" customHeight="false" outlineLevel="0" collapsed="false">
      <c r="B8" s="5" t="s">
        <v>22</v>
      </c>
      <c r="C8" s="6"/>
      <c r="D8" s="6"/>
      <c r="E8" s="7" t="str">
        <f aca="false">IFERROR((C8-D8)/C8,"—")</f>
        <v>—</v>
      </c>
      <c r="F8" s="8" t="s">
        <v>18</v>
      </c>
    </row>
    <row r="10" customFormat="false" ht="15" hidden="false" customHeight="false" outlineLevel="0" collapsed="false">
      <c r="B10" s="8" t="s">
        <v>23</v>
      </c>
    </row>
    <row r="11" customFormat="false" ht="15" hidden="false" customHeight="false" outlineLevel="0" collapsed="false">
      <c r="B11" s="8" t="s">
        <v>25</v>
      </c>
      <c r="C11" s="8" t="n">
        <v>2400</v>
      </c>
      <c r="D11" s="8" t="n">
        <v>520</v>
      </c>
      <c r="E11" s="9" t="n">
        <f aca="false">IFERROR((C11-D11)/C11,"—")</f>
        <v>0.783333333333333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20"/>
  </cols>
  <sheetData>
    <row r="2" customFormat="false" ht="17.35" hidden="false" customHeight="false" outlineLevel="0" collapsed="false">
      <c r="B2" s="1" t="s">
        <v>26</v>
      </c>
    </row>
    <row r="4" customFormat="false" ht="26.85" hidden="false" customHeight="false" outlineLevel="0" collapsed="false">
      <c r="B4" s="4" t="s">
        <v>27</v>
      </c>
      <c r="C4" s="4" t="s">
        <v>28</v>
      </c>
      <c r="D4" s="4" t="s">
        <v>29</v>
      </c>
    </row>
    <row r="5" customFormat="false" ht="15" hidden="false" customHeight="false" outlineLevel="0" collapsed="false">
      <c r="B5" s="5" t="s">
        <v>30</v>
      </c>
      <c r="C5" s="7" t="str">
        <f aca="false">'Клиентский сценарий'!E5</f>
        <v>—</v>
      </c>
      <c r="D5" s="7" t="str">
        <f aca="false">'Клиентский сценарий'!E6</f>
        <v>—</v>
      </c>
    </row>
    <row r="6" customFormat="false" ht="15" hidden="false" customHeight="false" outlineLevel="0" collapsed="false">
      <c r="B6" s="5" t="s">
        <v>31</v>
      </c>
      <c r="C6" s="7" t="str">
        <f aca="false">'Админский сценарий'!E5</f>
        <v>—</v>
      </c>
      <c r="D6" s="7" t="str">
        <f aca="false">'Админский сценарий'!E6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2026-09-26T20:52:23Z</dcterms:created>
  <dc:creator>openpyxl</dc:creator>
  <dc:description/>
  <dc:language>en-US</dc:language>
  <cp:lastModifiedBy/>
  <dcterms:modified xsi:type="dcterms:W3CDTF">2026-09-26T20:52:23Z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